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ER JHONNY\Desktop\INF-354\2doexamen\"/>
    </mc:Choice>
  </mc:AlternateContent>
  <xr:revisionPtr revIDLastSave="0" documentId="13_ncr:1_{A43D7705-D412-4F8C-8065-7E6512F82136}" xr6:coauthVersionLast="47" xr6:coauthVersionMax="47" xr10:uidLastSave="{00000000-0000-0000-0000-000000000000}"/>
  <bookViews>
    <workbookView xWindow="-120" yWindow="-120" windowWidth="20730" windowHeight="11160" activeTab="1" xr2:uid="{D2F4E5F6-616A-45F5-B6A7-7962B0D10424}"/>
  </bookViews>
  <sheets>
    <sheet name="Hoja1" sheetId="1" r:id="rId1"/>
    <sheet name="Hoja3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D67" i="1"/>
  <c r="F28" i="1"/>
  <c r="D28" i="1"/>
  <c r="F70" i="1"/>
  <c r="D70" i="1"/>
  <c r="F69" i="1"/>
  <c r="D69" i="1"/>
  <c r="F68" i="1"/>
  <c r="D68" i="1"/>
  <c r="F67" i="1"/>
  <c r="F66" i="1"/>
  <c r="D66" i="1"/>
  <c r="F65" i="1"/>
  <c r="D65" i="1"/>
  <c r="F64" i="1"/>
  <c r="D64" i="1"/>
  <c r="F63" i="1"/>
  <c r="D63" i="1"/>
  <c r="F62" i="1"/>
  <c r="D62" i="1"/>
  <c r="F61" i="1"/>
  <c r="D61" i="1"/>
  <c r="F60" i="1"/>
  <c r="D60" i="1"/>
  <c r="F59" i="1"/>
  <c r="D59" i="1"/>
  <c r="F58" i="1"/>
  <c r="D58" i="1"/>
  <c r="F57" i="1"/>
  <c r="D57" i="1"/>
  <c r="F56" i="1"/>
  <c r="D56" i="1"/>
  <c r="F55" i="1"/>
  <c r="D55" i="1"/>
  <c r="F54" i="1"/>
  <c r="D54" i="1"/>
  <c r="F53" i="1"/>
  <c r="D53" i="1"/>
  <c r="F52" i="1"/>
  <c r="D52" i="1"/>
  <c r="F51" i="1"/>
  <c r="D51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5" i="1"/>
  <c r="D12" i="1"/>
  <c r="D5" i="1"/>
  <c r="D6" i="1"/>
  <c r="D9" i="1"/>
  <c r="D11" i="1"/>
  <c r="D7" i="1"/>
  <c r="D21" i="1"/>
  <c r="D19" i="1"/>
  <c r="D22" i="1"/>
  <c r="D17" i="1"/>
  <c r="D16" i="1"/>
  <c r="D24" i="1"/>
  <c r="D15" i="1"/>
  <c r="D13" i="1"/>
  <c r="D23" i="1"/>
  <c r="D10" i="1"/>
  <c r="D18" i="1"/>
  <c r="D8" i="1"/>
  <c r="D20" i="1"/>
  <c r="D14" i="1"/>
  <c r="H24" i="1" l="1"/>
  <c r="H20" i="1"/>
  <c r="G64" i="1"/>
  <c r="H64" i="1" s="1"/>
  <c r="I64" i="1" s="1"/>
  <c r="G68" i="1"/>
  <c r="H68" i="1" s="1"/>
  <c r="I68" i="1" s="1"/>
  <c r="G52" i="1"/>
  <c r="H52" i="1" s="1"/>
  <c r="I52" i="1" s="1"/>
  <c r="G56" i="1"/>
  <c r="H56" i="1" s="1"/>
  <c r="I56" i="1" s="1"/>
  <c r="G60" i="1"/>
  <c r="H60" i="1" s="1"/>
  <c r="I60" i="1" s="1"/>
  <c r="G53" i="1"/>
  <c r="H53" i="1" s="1"/>
  <c r="I53" i="1" s="1"/>
  <c r="G57" i="1"/>
  <c r="H57" i="1" s="1"/>
  <c r="I57" i="1" s="1"/>
  <c r="G61" i="1"/>
  <c r="H61" i="1" s="1"/>
  <c r="I61" i="1" s="1"/>
  <c r="G65" i="1"/>
  <c r="H65" i="1" s="1"/>
  <c r="I65" i="1" s="1"/>
  <c r="G69" i="1"/>
  <c r="H69" i="1" s="1"/>
  <c r="I69" i="1" s="1"/>
  <c r="G54" i="1"/>
  <c r="H54" i="1" s="1"/>
  <c r="I54" i="1" s="1"/>
  <c r="G58" i="1"/>
  <c r="H58" i="1" s="1"/>
  <c r="I58" i="1" s="1"/>
  <c r="G66" i="1"/>
  <c r="H66" i="1" s="1"/>
  <c r="I66" i="1" s="1"/>
  <c r="G70" i="1"/>
  <c r="H70" i="1" s="1"/>
  <c r="I70" i="1" s="1"/>
  <c r="G62" i="1"/>
  <c r="H62" i="1" s="1"/>
  <c r="I62" i="1" s="1"/>
  <c r="G51" i="1"/>
  <c r="H51" i="1" s="1"/>
  <c r="I51" i="1" s="1"/>
  <c r="G55" i="1"/>
  <c r="H55" i="1" s="1"/>
  <c r="I55" i="1" s="1"/>
  <c r="G59" i="1"/>
  <c r="H59" i="1" s="1"/>
  <c r="I59" i="1" s="1"/>
  <c r="G63" i="1"/>
  <c r="H63" i="1" s="1"/>
  <c r="I63" i="1" s="1"/>
  <c r="G67" i="1"/>
  <c r="H67" i="1" s="1"/>
  <c r="I67" i="1" s="1"/>
  <c r="H11" i="1"/>
  <c r="H18" i="1"/>
  <c r="H14" i="1"/>
  <c r="H16" i="1"/>
  <c r="H8" i="1"/>
  <c r="H22" i="1"/>
  <c r="H23" i="1"/>
  <c r="H6" i="1"/>
  <c r="H12" i="1"/>
  <c r="H21" i="1"/>
  <c r="H17" i="1"/>
  <c r="H13" i="1"/>
  <c r="H9" i="1"/>
  <c r="H19" i="1"/>
  <c r="H10" i="1"/>
  <c r="H15" i="1"/>
  <c r="H7" i="1"/>
  <c r="I20" i="1" l="1"/>
  <c r="I24" i="1"/>
  <c r="I19" i="1"/>
  <c r="I22" i="1"/>
  <c r="I7" i="1"/>
  <c r="I9" i="1"/>
  <c r="I12" i="1"/>
  <c r="I8" i="1"/>
  <c r="I11" i="1"/>
  <c r="I21" i="1"/>
  <c r="I18" i="1"/>
  <c r="I15" i="1"/>
  <c r="I13" i="1"/>
  <c r="I6" i="1"/>
  <c r="I16" i="1"/>
  <c r="I5" i="1"/>
  <c r="I10" i="1"/>
  <c r="I17" i="1"/>
  <c r="I23" i="1"/>
  <c r="I14" i="1"/>
  <c r="D47" i="1" l="1"/>
  <c r="D43" i="1"/>
  <c r="F43" i="1"/>
  <c r="F31" i="1"/>
  <c r="D31" i="1"/>
  <c r="D32" i="1"/>
  <c r="F32" i="1"/>
  <c r="D45" i="1"/>
  <c r="D33" i="1"/>
  <c r="D36" i="1"/>
  <c r="F34" i="1"/>
  <c r="D34" i="1"/>
  <c r="F35" i="1"/>
  <c r="D35" i="1"/>
  <c r="D30" i="1"/>
  <c r="F42" i="1"/>
  <c r="D42" i="1"/>
  <c r="D46" i="1"/>
  <c r="F39" i="1"/>
  <c r="D39" i="1"/>
  <c r="F41" i="1"/>
  <c r="D41" i="1"/>
  <c r="D37" i="1"/>
  <c r="F37" i="1"/>
  <c r="D40" i="1"/>
  <c r="D29" i="1"/>
  <c r="F38" i="1"/>
  <c r="D38" i="1"/>
  <c r="D44" i="1"/>
  <c r="G35" i="1" l="1"/>
  <c r="H35" i="1" s="1"/>
  <c r="I35" i="1" s="1"/>
  <c r="F44" i="1"/>
  <c r="F40" i="1"/>
  <c r="F46" i="1"/>
  <c r="F30" i="1"/>
  <c r="G30" i="1" s="1"/>
  <c r="H30" i="1" s="1"/>
  <c r="I30" i="1" s="1"/>
  <c r="F33" i="1"/>
  <c r="G32" i="1" s="1"/>
  <c r="H32" i="1" s="1"/>
  <c r="I32" i="1" s="1"/>
  <c r="F36" i="1"/>
  <c r="F47" i="1"/>
  <c r="G47" i="1" s="1"/>
  <c r="H47" i="1" s="1"/>
  <c r="I47" i="1" s="1"/>
  <c r="F45" i="1"/>
  <c r="G44" i="1" s="1"/>
  <c r="H44" i="1" s="1"/>
  <c r="I44" i="1" s="1"/>
  <c r="G33" i="1"/>
  <c r="H33" i="1" s="1"/>
  <c r="I33" i="1" s="1"/>
  <c r="G41" i="1"/>
  <c r="H41" i="1" s="1"/>
  <c r="I41" i="1" s="1"/>
  <c r="G40" i="1"/>
  <c r="H40" i="1" s="1"/>
  <c r="I40" i="1" s="1"/>
  <c r="G34" i="1"/>
  <c r="H34" i="1" s="1"/>
  <c r="I34" i="1" s="1"/>
  <c r="F29" i="1"/>
  <c r="G38" i="1"/>
  <c r="H38" i="1" s="1"/>
  <c r="I38" i="1" s="1"/>
  <c r="G37" i="1"/>
  <c r="H37" i="1" s="1"/>
  <c r="I37" i="1" s="1"/>
  <c r="G36" i="1"/>
  <c r="H36" i="1" s="1"/>
  <c r="I36" i="1" s="1"/>
  <c r="G39" i="1"/>
  <c r="H39" i="1" s="1"/>
  <c r="I39" i="1" s="1"/>
  <c r="G42" i="1"/>
  <c r="H42" i="1" s="1"/>
  <c r="I42" i="1" s="1"/>
  <c r="G43" i="1"/>
  <c r="H43" i="1" s="1"/>
  <c r="I43" i="1" s="1"/>
  <c r="G46" i="1" l="1"/>
  <c r="H46" i="1" s="1"/>
  <c r="I46" i="1" s="1"/>
  <c r="G31" i="1"/>
  <c r="H31" i="1" s="1"/>
  <c r="I31" i="1" s="1"/>
  <c r="G45" i="1"/>
  <c r="H45" i="1" s="1"/>
  <c r="I45" i="1" s="1"/>
  <c r="G29" i="1"/>
  <c r="H29" i="1" s="1"/>
  <c r="I29" i="1" s="1"/>
  <c r="G28" i="1"/>
  <c r="H28" i="1" s="1"/>
  <c r="I28" i="1" s="1"/>
</calcChain>
</file>

<file path=xl/sharedStrings.xml><?xml version="1.0" encoding="utf-8"?>
<sst xmlns="http://schemas.openxmlformats.org/spreadsheetml/2006/main" count="71" uniqueCount="26">
  <si>
    <t>X</t>
  </si>
  <si>
    <t>f(x)</t>
  </si>
  <si>
    <t>ORDENADO</t>
  </si>
  <si>
    <t>CROMOSOMAS</t>
  </si>
  <si>
    <t>BINARIO</t>
  </si>
  <si>
    <t>MUTACION</t>
  </si>
  <si>
    <t>CRUCE</t>
  </si>
  <si>
    <t>DECIMAL</t>
  </si>
  <si>
    <t>1RA</t>
  </si>
  <si>
    <t>G</t>
  </si>
  <si>
    <t>E</t>
  </si>
  <si>
    <t>N</t>
  </si>
  <si>
    <t>R</t>
  </si>
  <si>
    <t>A</t>
  </si>
  <si>
    <t>C</t>
  </si>
  <si>
    <t>I</t>
  </si>
  <si>
    <t>O</t>
  </si>
  <si>
    <t>3RA</t>
  </si>
  <si>
    <t>2RA</t>
  </si>
  <si>
    <t>CRUCE A PARTIR DEL 4TO DIGITO.</t>
  </si>
  <si>
    <t>MUTACION EN EL 3ER DIGITO</t>
  </si>
  <si>
    <t>NRO</t>
  </si>
  <si>
    <t>DIGITO MUTACION</t>
  </si>
  <si>
    <t>DIGITO CRUCE:</t>
  </si>
  <si>
    <t>N°</t>
  </si>
  <si>
    <t>NRO. GENERACIONES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</si>
</sst>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.5"/>
      <color rgb="FF373A3C"/>
      <name val="Segoe UI"/>
      <family val="2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0" borderId="0" xfId="0" applyNumberFormat="1"/>
    <xf numFmtId="0" fontId="0" fillId="2" borderId="0" xfId="0" applyNumberFormat="1" applyFill="1"/>
    <xf numFmtId="0" fontId="0" fillId="0" borderId="0" xfId="0" applyNumberFormat="1" applyFill="1"/>
    <xf numFmtId="0" fontId="1" fillId="0" borderId="0" xfId="0" applyFont="1"/>
    <xf numFmtId="0" fontId="0" fillId="5" borderId="0" xfId="0" applyFill="1"/>
    <xf numFmtId="0" fontId="1" fillId="5" borderId="0" xfId="0" applyFont="1" applyFill="1" applyAlignment="1">
      <alignment horizontal="center"/>
    </xf>
    <xf numFmtId="164" fontId="0" fillId="5" borderId="0" xfId="0" applyNumberFormat="1" applyFill="1"/>
    <xf numFmtId="0" fontId="2" fillId="5" borderId="0" xfId="0" applyFont="1" applyFill="1"/>
    <xf numFmtId="0" fontId="0" fillId="5" borderId="0" xfId="0" applyFill="1" applyAlignment="1">
      <alignment horizontal="center"/>
    </xf>
    <xf numFmtId="0" fontId="0" fillId="6" borderId="0" xfId="0" applyFill="1"/>
    <xf numFmtId="0" fontId="1" fillId="6" borderId="0" xfId="0" applyFont="1" applyFill="1" applyAlignment="1">
      <alignment horizontal="center"/>
    </xf>
    <xf numFmtId="0" fontId="0" fillId="7" borderId="0" xfId="0" applyNumberFormat="1" applyFill="1"/>
    <xf numFmtId="0" fontId="0" fillId="4" borderId="0" xfId="0" applyFill="1"/>
    <xf numFmtId="0" fontId="0" fillId="3" borderId="0" xfId="0" applyFill="1"/>
    <xf numFmtId="0" fontId="1" fillId="3" borderId="0" xfId="0" applyFont="1" applyFill="1" applyAlignment="1">
      <alignment horizontal="center"/>
    </xf>
    <xf numFmtId="1" fontId="0" fillId="3" borderId="0" xfId="0" applyNumberFormat="1" applyFill="1"/>
    <xf numFmtId="164" fontId="0" fillId="3" borderId="0" xfId="0" applyNumberFormat="1" applyFill="1"/>
    <xf numFmtId="0" fontId="0" fillId="3" borderId="0" xfId="0" applyFill="1" applyAlignment="1">
      <alignment horizontal="right"/>
    </xf>
    <xf numFmtId="0" fontId="2" fillId="3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1" fillId="8" borderId="0" xfId="0" applyFont="1" applyFill="1" applyAlignment="1">
      <alignment horizontal="center"/>
    </xf>
    <xf numFmtId="164" fontId="0" fillId="8" borderId="0" xfId="0" applyNumberFormat="1" applyFill="1"/>
    <xf numFmtId="0" fontId="2" fillId="8" borderId="0" xfId="0" applyFont="1" applyFill="1"/>
    <xf numFmtId="0" fontId="0" fillId="8" borderId="0" xfId="0" applyFill="1" applyAlignment="1">
      <alignment horizontal="center"/>
    </xf>
    <xf numFmtId="0" fontId="3" fillId="0" borderId="0" xfId="0" applyFont="1" applyAlignment="1"/>
    <xf numFmtId="49" fontId="0" fillId="0" borderId="0" xfId="0" applyNumberFormat="1"/>
    <xf numFmtId="49" fontId="1" fillId="6" borderId="0" xfId="0" applyNumberFormat="1" applyFont="1" applyFill="1" applyAlignment="1">
      <alignment horizontal="center"/>
    </xf>
    <xf numFmtId="49" fontId="0" fillId="0" borderId="0" xfId="0" applyNumberFormat="1" applyFill="1"/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 wrapText="1"/>
    </xf>
    <xf numFmtId="0" fontId="0" fillId="2" borderId="0" xfId="0" applyNumberForma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225423</xdr:colOff>
      <xdr:row>0</xdr:row>
      <xdr:rowOff>63501</xdr:rowOff>
    </xdr:from>
    <xdr:ext cx="2716743" cy="4082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C71B042-4F20-4D6A-9371-924E1D067F7F}"/>
                </a:ext>
              </a:extLst>
            </xdr:cNvPr>
            <xdr:cNvSpPr txBox="1"/>
          </xdr:nvSpPr>
          <xdr:spPr>
            <a:xfrm>
              <a:off x="225423" y="63501"/>
              <a:ext cx="2716743" cy="408226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BO" sz="20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BO" sz="20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s-BO" sz="20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BO" sz="2000" b="1" i="1">
                        <a:latin typeface="Cambria Math" panose="02040503050406030204" pitchFamily="18" charset="0"/>
                      </a:rPr>
                      <m:t>𝟏</m:t>
                    </m:r>
                    <m:r>
                      <a:rPr lang="es-BO" sz="2000" b="1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s-BO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BO" sz="2000" b="1" i="0">
                            <a:latin typeface="Cambria Math" panose="02040503050406030204" pitchFamily="18" charset="0"/>
                          </a:rPr>
                          <m:t>𝐥𝐨𝐠</m:t>
                        </m:r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⁡(</m:t>
                        </m:r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ES" sz="2000" b="1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C71B042-4F20-4D6A-9371-924E1D067F7F}"/>
                </a:ext>
              </a:extLst>
            </xdr:cNvPr>
            <xdr:cNvSpPr txBox="1"/>
          </xdr:nvSpPr>
          <xdr:spPr>
            <a:xfrm>
              <a:off x="225423" y="63501"/>
              <a:ext cx="2716743" cy="408226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BO" sz="2000" b="1" i="0">
                  <a:latin typeface="Cambria Math" panose="02040503050406030204" pitchFamily="18" charset="0"/>
                </a:rPr>
                <a:t>𝒇(𝒙)=𝟏+〖𝐥𝐨𝐠⁡(𝒙)〗^𝟐</a:t>
              </a:r>
              <a:endParaRPr lang="es-ES" sz="20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57150</xdr:colOff>
      <xdr:row>0</xdr:row>
      <xdr:rowOff>30956</xdr:rowOff>
    </xdr:from>
    <xdr:ext cx="2716743" cy="4082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1B5CBDB-34C7-421C-8B40-376A494E03EE}"/>
                </a:ext>
              </a:extLst>
            </xdr:cNvPr>
            <xdr:cNvSpPr txBox="1"/>
          </xdr:nvSpPr>
          <xdr:spPr>
            <a:xfrm>
              <a:off x="9605963" y="30956"/>
              <a:ext cx="2716743" cy="408226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BO" sz="20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BO" sz="20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s-BO" sz="20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BO" sz="2000" b="1" i="1">
                        <a:latin typeface="Cambria Math" panose="02040503050406030204" pitchFamily="18" charset="0"/>
                      </a:rPr>
                      <m:t>𝟏</m:t>
                    </m:r>
                    <m:r>
                      <a:rPr lang="es-BO" sz="2000" b="1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s-BO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BO" sz="2000" b="1" i="0">
                            <a:latin typeface="Cambria Math" panose="02040503050406030204" pitchFamily="18" charset="0"/>
                          </a:rPr>
                          <m:t>𝐥𝐨𝐠</m:t>
                        </m:r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⁡(</m:t>
                        </m:r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s-BO" sz="2000" b="1" i="1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ES" sz="2000" b="1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1B5CBDB-34C7-421C-8B40-376A494E03EE}"/>
                </a:ext>
              </a:extLst>
            </xdr:cNvPr>
            <xdr:cNvSpPr txBox="1"/>
          </xdr:nvSpPr>
          <xdr:spPr>
            <a:xfrm>
              <a:off x="9605963" y="30956"/>
              <a:ext cx="2716743" cy="408226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BO" sz="2000" b="1" i="0">
                  <a:latin typeface="Cambria Math" panose="02040503050406030204" pitchFamily="18" charset="0"/>
                </a:rPr>
                <a:t>𝒇(𝒙)=𝟏+〖𝐥𝐨𝐠⁡(𝒙)〗^𝟐</a:t>
              </a:r>
              <a:endParaRPr lang="es-ES" sz="20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7ECB3-2AB1-41B4-94F4-1F87F5DF3187}">
  <sheetPr codeName="Hoja1"/>
  <dimension ref="A1:N70"/>
  <sheetViews>
    <sheetView zoomScale="90" zoomScaleNormal="90" workbookViewId="0">
      <selection activeCell="H15" sqref="H15"/>
    </sheetView>
  </sheetViews>
  <sheetFormatPr baseColWidth="10" defaultRowHeight="15" x14ac:dyDescent="0.25"/>
  <cols>
    <col min="2" max="2" width="16" customWidth="1"/>
    <col min="5" max="6" width="11.85546875" bestFit="1" customWidth="1"/>
  </cols>
  <sheetData>
    <row r="1" spans="1:9" ht="21" x14ac:dyDescent="0.35">
      <c r="B1" s="26"/>
      <c r="C1" s="26"/>
      <c r="F1" s="4" t="s">
        <v>19</v>
      </c>
    </row>
    <row r="2" spans="1:9" x14ac:dyDescent="0.25">
      <c r="F2" s="4" t="s">
        <v>20</v>
      </c>
    </row>
    <row r="3" spans="1:9" x14ac:dyDescent="0.25">
      <c r="F3" s="27"/>
      <c r="G3" s="27"/>
      <c r="H3" s="27"/>
    </row>
    <row r="4" spans="1:9" s="21" customFormat="1" x14ac:dyDescent="0.25">
      <c r="B4" s="22" t="s">
        <v>3</v>
      </c>
      <c r="C4" s="22" t="s">
        <v>0</v>
      </c>
      <c r="D4" s="22" t="s">
        <v>1</v>
      </c>
      <c r="E4" s="22" t="s">
        <v>2</v>
      </c>
      <c r="F4" s="22" t="s">
        <v>4</v>
      </c>
      <c r="G4" s="22" t="s">
        <v>6</v>
      </c>
      <c r="H4" s="22" t="s">
        <v>5</v>
      </c>
      <c r="I4" s="22" t="s">
        <v>7</v>
      </c>
    </row>
    <row r="5" spans="1:9" s="21" customFormat="1" x14ac:dyDescent="0.25">
      <c r="B5" s="21">
        <v>1</v>
      </c>
      <c r="C5" s="21">
        <v>33</v>
      </c>
      <c r="D5" s="21">
        <f t="shared" ref="D5:D24" si="0">1+(LOG10(C5))^2</f>
        <v>3.3058845856034647</v>
      </c>
      <c r="E5" s="21">
        <v>93</v>
      </c>
      <c r="F5" s="2" t="str">
        <f t="shared" ref="F5:F24" si="1">DEC2BIN(E5,8)</f>
        <v>01011101</v>
      </c>
      <c r="G5" s="23" t="str">
        <f>_xlfn.CONCAT(LEFT(F5,4),RIGHT(F6,4))</f>
        <v>01011010</v>
      </c>
      <c r="H5" s="21" t="str">
        <f>REPLACE(G5,3,1,1)</f>
        <v>01111010</v>
      </c>
      <c r="I5" s="13">
        <f>BIN2DEC(H5)</f>
        <v>122</v>
      </c>
    </row>
    <row r="6" spans="1:9" s="25" customFormat="1" ht="16.5" x14ac:dyDescent="0.3">
      <c r="A6" s="22" t="s">
        <v>8</v>
      </c>
      <c r="B6" s="24">
        <v>2</v>
      </c>
      <c r="C6" s="21">
        <v>82</v>
      </c>
      <c r="D6" s="21">
        <f t="shared" si="0"/>
        <v>4.6626834615758028</v>
      </c>
      <c r="E6" s="21">
        <v>90</v>
      </c>
      <c r="F6" s="2" t="str">
        <f t="shared" si="1"/>
        <v>01011010</v>
      </c>
      <c r="G6" s="23" t="str">
        <f>_xlfn.CONCAT(LEFT(F6,4),RIGHT(F5,4))</f>
        <v>01011101</v>
      </c>
      <c r="H6" s="21" t="str">
        <f t="shared" ref="H6:H11" si="2">REPLACE(G6,3,1,1)</f>
        <v>01111101</v>
      </c>
      <c r="I6" s="13">
        <f t="shared" ref="I6:I24" si="3">BIN2DEC(H6)</f>
        <v>125</v>
      </c>
    </row>
    <row r="7" spans="1:9" s="21" customFormat="1" x14ac:dyDescent="0.25">
      <c r="A7" s="22"/>
      <c r="B7" s="21">
        <v>3</v>
      </c>
      <c r="C7" s="21">
        <v>43</v>
      </c>
      <c r="D7" s="21">
        <f t="shared" si="0"/>
        <v>3.6682191953735592</v>
      </c>
      <c r="E7" s="21">
        <v>87</v>
      </c>
      <c r="F7" s="12" t="str">
        <f t="shared" si="1"/>
        <v>01010111</v>
      </c>
      <c r="G7" s="23" t="str">
        <f>_xlfn.CONCAT(LEFT(F7,4),RIGHT(F8,4))</f>
        <v>01010010</v>
      </c>
      <c r="H7" s="21" t="str">
        <f t="shared" si="2"/>
        <v>01110010</v>
      </c>
      <c r="I7" s="13">
        <f t="shared" si="3"/>
        <v>114</v>
      </c>
    </row>
    <row r="8" spans="1:9" s="21" customFormat="1" x14ac:dyDescent="0.25">
      <c r="A8" s="22" t="s">
        <v>9</v>
      </c>
      <c r="B8" s="21">
        <v>4</v>
      </c>
      <c r="C8" s="21">
        <v>54</v>
      </c>
      <c r="D8" s="21">
        <f t="shared" si="0"/>
        <v>4.0011881390735615</v>
      </c>
      <c r="E8" s="21">
        <v>82</v>
      </c>
      <c r="F8" s="12" t="str">
        <f t="shared" si="1"/>
        <v>01010010</v>
      </c>
      <c r="G8" s="23" t="str">
        <f>_xlfn.CONCAT(LEFT(F8,4),RIGHT(F7,4))</f>
        <v>01010111</v>
      </c>
      <c r="H8" s="21" t="str">
        <f t="shared" si="2"/>
        <v>01110111</v>
      </c>
      <c r="I8" s="13">
        <f t="shared" si="3"/>
        <v>119</v>
      </c>
    </row>
    <row r="9" spans="1:9" s="21" customFormat="1" ht="16.5" x14ac:dyDescent="0.3">
      <c r="A9" s="22" t="s">
        <v>10</v>
      </c>
      <c r="B9" s="24">
        <v>5</v>
      </c>
      <c r="C9" s="21">
        <v>23</v>
      </c>
      <c r="D9" s="21">
        <f t="shared" si="0"/>
        <v>2.8543026993851561</v>
      </c>
      <c r="E9" s="21">
        <v>81</v>
      </c>
      <c r="F9" s="2" t="str">
        <f t="shared" si="1"/>
        <v>01010001</v>
      </c>
      <c r="G9" s="23" t="str">
        <f>_xlfn.CONCAT(LEFT(F9,4),RIGHT(F10,4))</f>
        <v>01011001</v>
      </c>
      <c r="H9" s="21" t="str">
        <f t="shared" si="2"/>
        <v>01111001</v>
      </c>
      <c r="I9" s="13">
        <f t="shared" si="3"/>
        <v>121</v>
      </c>
    </row>
    <row r="10" spans="1:9" s="21" customFormat="1" x14ac:dyDescent="0.25">
      <c r="A10" s="22" t="s">
        <v>11</v>
      </c>
      <c r="B10" s="21">
        <v>6</v>
      </c>
      <c r="C10" s="21">
        <v>21</v>
      </c>
      <c r="D10" s="21">
        <f t="shared" si="0"/>
        <v>2.7482638633666632</v>
      </c>
      <c r="E10" s="21">
        <v>73</v>
      </c>
      <c r="F10" s="2" t="str">
        <f t="shared" si="1"/>
        <v>01001001</v>
      </c>
      <c r="G10" s="23" t="str">
        <f>_xlfn.CONCAT(LEFT(F10,4),RIGHT(F9,4))</f>
        <v>01000001</v>
      </c>
      <c r="H10" s="21" t="str">
        <f t="shared" si="2"/>
        <v>01100001</v>
      </c>
      <c r="I10" s="13">
        <f t="shared" si="3"/>
        <v>97</v>
      </c>
    </row>
    <row r="11" spans="1:9" s="21" customFormat="1" x14ac:dyDescent="0.25">
      <c r="A11" s="22" t="s">
        <v>10</v>
      </c>
      <c r="B11" s="21">
        <v>7</v>
      </c>
      <c r="C11" s="21">
        <v>90</v>
      </c>
      <c r="D11" s="21">
        <f t="shared" si="0"/>
        <v>4.8190637856997096</v>
      </c>
      <c r="E11" s="21">
        <v>64</v>
      </c>
      <c r="F11" s="12" t="str">
        <f t="shared" si="1"/>
        <v>01000000</v>
      </c>
      <c r="G11" s="23" t="str">
        <f>_xlfn.CONCAT(LEFT(F11,4),RIGHT(F12,4))</f>
        <v>01001111</v>
      </c>
      <c r="H11" s="21" t="str">
        <f t="shared" si="2"/>
        <v>01101111</v>
      </c>
      <c r="I11" s="13">
        <f t="shared" si="3"/>
        <v>111</v>
      </c>
    </row>
    <row r="12" spans="1:9" s="21" customFormat="1" ht="16.5" x14ac:dyDescent="0.3">
      <c r="A12" s="22" t="s">
        <v>12</v>
      </c>
      <c r="B12" s="24">
        <v>8</v>
      </c>
      <c r="C12" s="21">
        <v>42</v>
      </c>
      <c r="D12" s="21">
        <f t="shared" si="0"/>
        <v>3.6349382587772876</v>
      </c>
      <c r="E12" s="21">
        <v>63</v>
      </c>
      <c r="F12" s="12" t="str">
        <f t="shared" si="1"/>
        <v>00111111</v>
      </c>
      <c r="G12" s="23" t="str">
        <f>_xlfn.CONCAT(LEFT(F12,4),RIGHT(F11,4))</f>
        <v>00110000</v>
      </c>
      <c r="H12" s="21" t="str">
        <f>REPLACE(G12,3,1,0)</f>
        <v>00010000</v>
      </c>
      <c r="I12" s="13">
        <f t="shared" si="3"/>
        <v>16</v>
      </c>
    </row>
    <row r="13" spans="1:9" s="21" customFormat="1" x14ac:dyDescent="0.25">
      <c r="A13" s="22" t="s">
        <v>13</v>
      </c>
      <c r="B13" s="21">
        <v>9</v>
      </c>
      <c r="C13" s="21">
        <v>24</v>
      </c>
      <c r="D13" s="21">
        <f t="shared" si="0"/>
        <v>2.9049830717470932</v>
      </c>
      <c r="E13" s="21">
        <v>58</v>
      </c>
      <c r="F13" s="2" t="str">
        <f t="shared" si="1"/>
        <v>00111010</v>
      </c>
      <c r="G13" s="23" t="str">
        <f>_xlfn.CONCAT(LEFT(F13,4),RIGHT(F14,4))</f>
        <v>00110110</v>
      </c>
      <c r="H13" s="21" t="str">
        <f t="shared" ref="H13:H19" si="4">REPLACE(G13,3,1,0)</f>
        <v>00010110</v>
      </c>
      <c r="I13" s="13">
        <f t="shared" si="3"/>
        <v>22</v>
      </c>
    </row>
    <row r="14" spans="1:9" s="21" customFormat="1" x14ac:dyDescent="0.25">
      <c r="A14" s="22" t="s">
        <v>14</v>
      </c>
      <c r="B14" s="21">
        <v>10</v>
      </c>
      <c r="C14" s="21">
        <v>81</v>
      </c>
      <c r="D14" s="21">
        <f t="shared" si="0"/>
        <v>4.6423150672842404</v>
      </c>
      <c r="E14" s="21">
        <v>54</v>
      </c>
      <c r="F14" s="2" t="str">
        <f t="shared" si="1"/>
        <v>00110110</v>
      </c>
      <c r="G14" s="23" t="str">
        <f>_xlfn.CONCAT(LEFT(F14,4),RIGHT(F13,4))</f>
        <v>00111010</v>
      </c>
      <c r="H14" s="21" t="str">
        <f t="shared" si="4"/>
        <v>00011010</v>
      </c>
      <c r="I14" s="13">
        <f t="shared" si="3"/>
        <v>26</v>
      </c>
    </row>
    <row r="15" spans="1:9" s="21" customFormat="1" ht="16.5" x14ac:dyDescent="0.3">
      <c r="A15" s="22" t="s">
        <v>15</v>
      </c>
      <c r="B15" s="24">
        <v>11</v>
      </c>
      <c r="C15" s="21">
        <v>64</v>
      </c>
      <c r="D15" s="21">
        <f t="shared" si="0"/>
        <v>4.2622860984204349</v>
      </c>
      <c r="E15" s="21">
        <v>49</v>
      </c>
      <c r="F15" s="12" t="str">
        <f t="shared" si="1"/>
        <v>00110001</v>
      </c>
      <c r="G15" s="23" t="str">
        <f>_xlfn.CONCAT(LEFT(F15,4),RIGHT(F16,4))</f>
        <v>00111011</v>
      </c>
      <c r="H15" s="21" t="str">
        <f t="shared" si="4"/>
        <v>00011011</v>
      </c>
      <c r="I15" s="13">
        <f t="shared" si="3"/>
        <v>27</v>
      </c>
    </row>
    <row r="16" spans="1:9" s="21" customFormat="1" x14ac:dyDescent="0.25">
      <c r="A16" s="22" t="s">
        <v>16</v>
      </c>
      <c r="B16" s="21">
        <v>12</v>
      </c>
      <c r="C16" s="21">
        <v>93</v>
      </c>
      <c r="D16" s="21">
        <f t="shared" si="0"/>
        <v>4.8749251187475942</v>
      </c>
      <c r="E16" s="21">
        <v>43</v>
      </c>
      <c r="F16" s="12" t="str">
        <f t="shared" si="1"/>
        <v>00101011</v>
      </c>
      <c r="G16" s="23" t="str">
        <f>_xlfn.CONCAT(LEFT(F16,4),RIGHT(F15,4))</f>
        <v>00100001</v>
      </c>
      <c r="H16" s="21" t="str">
        <f t="shared" si="4"/>
        <v>00000001</v>
      </c>
      <c r="I16" s="13">
        <f t="shared" si="3"/>
        <v>1</v>
      </c>
    </row>
    <row r="17" spans="1:14" s="21" customFormat="1" x14ac:dyDescent="0.25">
      <c r="A17" s="22" t="s">
        <v>11</v>
      </c>
      <c r="B17" s="21">
        <v>13</v>
      </c>
      <c r="C17" s="21">
        <v>73</v>
      </c>
      <c r="D17" s="21">
        <f t="shared" si="0"/>
        <v>4.4719720810474755</v>
      </c>
      <c r="E17" s="21">
        <v>42</v>
      </c>
      <c r="F17" s="2" t="str">
        <f t="shared" si="1"/>
        <v>00101010</v>
      </c>
      <c r="G17" s="23" t="str">
        <f>_xlfn.CONCAT(LEFT(F17,4),RIGHT(F18,4))</f>
        <v>00100101</v>
      </c>
      <c r="H17" s="21" t="str">
        <f t="shared" si="4"/>
        <v>00000101</v>
      </c>
      <c r="I17" s="13">
        <f t="shared" si="3"/>
        <v>5</v>
      </c>
    </row>
    <row r="18" spans="1:14" s="21" customFormat="1" ht="16.5" x14ac:dyDescent="0.3">
      <c r="B18" s="24">
        <v>14</v>
      </c>
      <c r="C18" s="21">
        <v>22</v>
      </c>
      <c r="D18" s="21">
        <f t="shared" si="0"/>
        <v>2.8020986539858788</v>
      </c>
      <c r="E18" s="21">
        <v>37</v>
      </c>
      <c r="F18" s="2" t="str">
        <f t="shared" si="1"/>
        <v>00100101</v>
      </c>
      <c r="G18" s="23" t="str">
        <f>_xlfn.CONCAT(LEFT(F18,4),RIGHT(F17,4))</f>
        <v>00101010</v>
      </c>
      <c r="H18" s="21" t="str">
        <f t="shared" si="4"/>
        <v>00001010</v>
      </c>
      <c r="I18" s="13">
        <f t="shared" si="3"/>
        <v>10</v>
      </c>
    </row>
    <row r="19" spans="1:14" s="21" customFormat="1" x14ac:dyDescent="0.25">
      <c r="B19" s="21">
        <v>15</v>
      </c>
      <c r="C19" s="21">
        <v>28</v>
      </c>
      <c r="D19" s="21">
        <f t="shared" si="0"/>
        <v>3.0942663676782876</v>
      </c>
      <c r="E19" s="21">
        <v>33</v>
      </c>
      <c r="F19" s="12" t="str">
        <f t="shared" si="1"/>
        <v>00100001</v>
      </c>
      <c r="G19" s="23" t="str">
        <f>_xlfn.CONCAT(LEFT(F19,4),RIGHT(F20,4))</f>
        <v>00101100</v>
      </c>
      <c r="H19" s="21" t="str">
        <f t="shared" si="4"/>
        <v>00001100</v>
      </c>
      <c r="I19" s="13">
        <f t="shared" si="3"/>
        <v>12</v>
      </c>
    </row>
    <row r="20" spans="1:14" s="21" customFormat="1" x14ac:dyDescent="0.25">
      <c r="B20" s="21">
        <v>16</v>
      </c>
      <c r="C20" s="21">
        <v>49</v>
      </c>
      <c r="D20" s="21">
        <f t="shared" si="0"/>
        <v>3.8567627889437537</v>
      </c>
      <c r="E20" s="21">
        <v>28</v>
      </c>
      <c r="F20" s="12" t="str">
        <f t="shared" si="1"/>
        <v>00011100</v>
      </c>
      <c r="G20" s="23" t="str">
        <f>_xlfn.CONCAT(LEFT(F20,4),RIGHT(F19,4))</f>
        <v>00010001</v>
      </c>
      <c r="H20" s="21" t="str">
        <f>REPLACE(G20,3,1,1)</f>
        <v>00110001</v>
      </c>
      <c r="I20" s="13">
        <f t="shared" si="3"/>
        <v>49</v>
      </c>
    </row>
    <row r="21" spans="1:14" s="21" customFormat="1" x14ac:dyDescent="0.25">
      <c r="B21" s="21">
        <v>17</v>
      </c>
      <c r="C21" s="21">
        <v>63</v>
      </c>
      <c r="D21" s="21">
        <f t="shared" si="0"/>
        <v>4.2376264129079173</v>
      </c>
      <c r="E21" s="21">
        <v>24</v>
      </c>
      <c r="F21" s="2" t="str">
        <f t="shared" si="1"/>
        <v>00011000</v>
      </c>
      <c r="G21" s="23" t="str">
        <f>_xlfn.CONCAT(LEFT(F21,4),RIGHT(F22,4))</f>
        <v>00010111</v>
      </c>
      <c r="H21" s="21" t="str">
        <f>REPLACE(G21,3,1,1)</f>
        <v>00110111</v>
      </c>
      <c r="I21" s="13">
        <f t="shared" si="3"/>
        <v>55</v>
      </c>
    </row>
    <row r="22" spans="1:14" s="21" customFormat="1" ht="16.5" x14ac:dyDescent="0.3">
      <c r="B22" s="24">
        <v>18</v>
      </c>
      <c r="C22" s="21">
        <v>37</v>
      </c>
      <c r="D22" s="21">
        <f t="shared" si="0"/>
        <v>3.4592566473666957</v>
      </c>
      <c r="E22" s="21">
        <v>23</v>
      </c>
      <c r="F22" s="2" t="str">
        <f t="shared" si="1"/>
        <v>00010111</v>
      </c>
      <c r="G22" s="23" t="str">
        <f>_xlfn.CONCAT(LEFT(F22,4),RIGHT(F21,4))</f>
        <v>00011000</v>
      </c>
      <c r="H22" s="21" t="str">
        <f>REPLACE(G22,3,1,1)</f>
        <v>00111000</v>
      </c>
      <c r="I22" s="13">
        <f t="shared" si="3"/>
        <v>56</v>
      </c>
    </row>
    <row r="23" spans="1:14" s="21" customFormat="1" x14ac:dyDescent="0.25">
      <c r="B23" s="21">
        <v>19</v>
      </c>
      <c r="C23" s="21">
        <v>87</v>
      </c>
      <c r="D23" s="21">
        <f t="shared" si="0"/>
        <v>4.7617349312782844</v>
      </c>
      <c r="E23" s="21">
        <v>22</v>
      </c>
      <c r="F23" s="12" t="str">
        <f t="shared" si="1"/>
        <v>00010110</v>
      </c>
      <c r="G23" s="23" t="str">
        <f>_xlfn.CONCAT(LEFT(F23,4),RIGHT(F24,4))</f>
        <v>00010101</v>
      </c>
      <c r="H23" s="21" t="str">
        <f>REPLACE(G23,3,1,1)</f>
        <v>00110101</v>
      </c>
      <c r="I23" s="13">
        <f t="shared" si="3"/>
        <v>53</v>
      </c>
    </row>
    <row r="24" spans="1:14" s="21" customFormat="1" x14ac:dyDescent="0.25">
      <c r="B24" s="21">
        <v>20</v>
      </c>
      <c r="C24" s="21">
        <v>58</v>
      </c>
      <c r="D24" s="21">
        <f t="shared" si="0"/>
        <v>4.1096782884814065</v>
      </c>
      <c r="E24" s="21">
        <v>21</v>
      </c>
      <c r="F24" s="12" t="str">
        <f t="shared" si="1"/>
        <v>00010101</v>
      </c>
      <c r="G24" s="23" t="str">
        <f>_xlfn.CONCAT(LEFT(F24,4),RIGHT(F23,4))</f>
        <v>00010110</v>
      </c>
      <c r="H24" s="21" t="str">
        <f>REPLACE(G24,3,1,1)</f>
        <v>00110110</v>
      </c>
      <c r="I24" s="13">
        <f t="shared" si="3"/>
        <v>54</v>
      </c>
    </row>
    <row r="25" spans="1:14" x14ac:dyDescent="0.25">
      <c r="F25" s="3"/>
      <c r="G25" s="1"/>
    </row>
    <row r="26" spans="1:14" x14ac:dyDescent="0.25">
      <c r="F26" s="3"/>
      <c r="G26" s="1"/>
    </row>
    <row r="27" spans="1:14" s="14" customFormat="1" x14ac:dyDescent="0.25">
      <c r="B27" s="15" t="s">
        <v>3</v>
      </c>
      <c r="C27" s="15" t="s">
        <v>0</v>
      </c>
      <c r="D27" s="15" t="s">
        <v>1</v>
      </c>
      <c r="E27" s="15" t="s">
        <v>2</v>
      </c>
      <c r="F27" s="15" t="s">
        <v>4</v>
      </c>
      <c r="G27" s="15" t="s">
        <v>6</v>
      </c>
      <c r="H27" s="15" t="s">
        <v>5</v>
      </c>
      <c r="I27" s="15" t="s">
        <v>7</v>
      </c>
    </row>
    <row r="28" spans="1:14" s="14" customFormat="1" x14ac:dyDescent="0.25">
      <c r="B28" s="14">
        <v>1</v>
      </c>
      <c r="C28" s="14">
        <v>122</v>
      </c>
      <c r="D28" s="14">
        <f t="shared" ref="D28:D47" si="5">1+(LOG10(C28))^2</f>
        <v>5.352897343053165</v>
      </c>
      <c r="E28" s="16">
        <v>125</v>
      </c>
      <c r="F28" s="2" t="str">
        <f t="shared" ref="F28:F47" si="6">DEC2BIN(E28,8)</f>
        <v>01111101</v>
      </c>
      <c r="G28" s="17" t="str">
        <f>_xlfn.CONCAT(LEFT(F28,4),RIGHT(F29,4))</f>
        <v>01111010</v>
      </c>
      <c r="H28" s="14" t="str">
        <f t="shared" ref="H28:H34" si="7">REPLACE(G28,3,1,1)</f>
        <v>01111010</v>
      </c>
      <c r="I28" s="13">
        <f>BIN2DEC(H28)</f>
        <v>122</v>
      </c>
      <c r="N28" s="18"/>
    </row>
    <row r="29" spans="1:14" s="20" customFormat="1" ht="16.5" x14ac:dyDescent="0.3">
      <c r="A29" s="15" t="s">
        <v>18</v>
      </c>
      <c r="B29" s="19">
        <v>2</v>
      </c>
      <c r="C29" s="14">
        <v>125</v>
      </c>
      <c r="D29" s="14">
        <f t="shared" si="5"/>
        <v>5.3970316026534464</v>
      </c>
      <c r="E29" s="16">
        <v>122</v>
      </c>
      <c r="F29" s="2" t="str">
        <f t="shared" si="6"/>
        <v>01111010</v>
      </c>
      <c r="G29" s="17" t="str">
        <f>_xlfn.CONCAT(LEFT(F29,4),RIGHT(F28,4))</f>
        <v>01111101</v>
      </c>
      <c r="H29" s="14" t="str">
        <f t="shared" si="7"/>
        <v>01111101</v>
      </c>
      <c r="I29" s="13">
        <f t="shared" ref="I29:I47" si="8">BIN2DEC(H29)</f>
        <v>125</v>
      </c>
      <c r="M29" s="18"/>
      <c r="N29" s="14"/>
    </row>
    <row r="30" spans="1:14" s="14" customFormat="1" x14ac:dyDescent="0.25">
      <c r="A30" s="15"/>
      <c r="B30" s="14">
        <v>3</v>
      </c>
      <c r="C30" s="14">
        <v>114</v>
      </c>
      <c r="D30" s="14">
        <f t="shared" si="5"/>
        <v>5.2308575674515172</v>
      </c>
      <c r="E30" s="16">
        <v>121</v>
      </c>
      <c r="F30" s="12" t="str">
        <f t="shared" si="6"/>
        <v>01111001</v>
      </c>
      <c r="G30" s="17" t="str">
        <f>_xlfn.CONCAT(LEFT(F30,4),RIGHT(F31,4))</f>
        <v>01110111</v>
      </c>
      <c r="H30" s="14" t="str">
        <f t="shared" si="7"/>
        <v>01110111</v>
      </c>
      <c r="I30" s="13">
        <f t="shared" si="8"/>
        <v>119</v>
      </c>
    </row>
    <row r="31" spans="1:14" s="14" customFormat="1" x14ac:dyDescent="0.25">
      <c r="A31" s="15" t="s">
        <v>9</v>
      </c>
      <c r="B31" s="14">
        <v>4</v>
      </c>
      <c r="C31" s="14">
        <v>119</v>
      </c>
      <c r="D31" s="14">
        <f t="shared" si="5"/>
        <v>5.3078951889457668</v>
      </c>
      <c r="E31" s="16">
        <v>119</v>
      </c>
      <c r="F31" s="12" t="str">
        <f t="shared" si="6"/>
        <v>01110111</v>
      </c>
      <c r="G31" s="17" t="str">
        <f>_xlfn.CONCAT(LEFT(F31,4),RIGHT(F30,4))</f>
        <v>01111001</v>
      </c>
      <c r="H31" s="14" t="str">
        <f t="shared" si="7"/>
        <v>01111001</v>
      </c>
      <c r="I31" s="13">
        <f t="shared" si="8"/>
        <v>121</v>
      </c>
    </row>
    <row r="32" spans="1:14" s="14" customFormat="1" ht="16.5" x14ac:dyDescent="0.3">
      <c r="A32" s="15" t="s">
        <v>10</v>
      </c>
      <c r="B32" s="19">
        <v>5</v>
      </c>
      <c r="C32" s="14">
        <v>121</v>
      </c>
      <c r="D32" s="14">
        <f t="shared" si="5"/>
        <v>5.3379948988042329</v>
      </c>
      <c r="E32" s="16">
        <v>114</v>
      </c>
      <c r="F32" s="2" t="str">
        <f t="shared" si="6"/>
        <v>01110010</v>
      </c>
      <c r="G32" s="17" t="str">
        <f>_xlfn.CONCAT(LEFT(F32,4),RIGHT(F33,4))</f>
        <v>01111111</v>
      </c>
      <c r="H32" s="14" t="str">
        <f t="shared" si="7"/>
        <v>01111111</v>
      </c>
      <c r="I32" s="13">
        <f t="shared" si="8"/>
        <v>127</v>
      </c>
    </row>
    <row r="33" spans="1:9" s="14" customFormat="1" x14ac:dyDescent="0.25">
      <c r="A33" s="15" t="s">
        <v>11</v>
      </c>
      <c r="B33" s="14">
        <v>6</v>
      </c>
      <c r="C33" s="14">
        <v>97</v>
      </c>
      <c r="D33" s="14">
        <f t="shared" si="5"/>
        <v>4.9472619240793021</v>
      </c>
      <c r="E33" s="16">
        <v>111</v>
      </c>
      <c r="F33" s="2" t="str">
        <f t="shared" si="6"/>
        <v>01101111</v>
      </c>
      <c r="G33" s="17" t="str">
        <f>_xlfn.CONCAT(LEFT(F33,4),RIGHT(F32,4))</f>
        <v>01100010</v>
      </c>
      <c r="H33" s="14" t="str">
        <f t="shared" si="7"/>
        <v>01100010</v>
      </c>
      <c r="I33" s="13">
        <f t="shared" si="8"/>
        <v>98</v>
      </c>
    </row>
    <row r="34" spans="1:9" s="14" customFormat="1" x14ac:dyDescent="0.25">
      <c r="A34" s="15" t="s">
        <v>10</v>
      </c>
      <c r="B34" s="14">
        <v>7</v>
      </c>
      <c r="C34" s="14">
        <v>111</v>
      </c>
      <c r="D34" s="14">
        <f t="shared" si="5"/>
        <v>5.1833460875527262</v>
      </c>
      <c r="E34" s="16">
        <v>97</v>
      </c>
      <c r="F34" s="12" t="str">
        <f t="shared" si="6"/>
        <v>01100001</v>
      </c>
      <c r="G34" s="17" t="str">
        <f>_xlfn.CONCAT(LEFT(F34,4),RIGHT(F35,4))</f>
        <v>01101000</v>
      </c>
      <c r="H34" s="14" t="str">
        <f t="shared" si="7"/>
        <v>01101000</v>
      </c>
      <c r="I34" s="13">
        <f t="shared" si="8"/>
        <v>104</v>
      </c>
    </row>
    <row r="35" spans="1:9" s="14" customFormat="1" ht="16.5" x14ac:dyDescent="0.3">
      <c r="A35" s="15" t="s">
        <v>12</v>
      </c>
      <c r="B35" s="19">
        <v>8</v>
      </c>
      <c r="C35" s="14">
        <v>16</v>
      </c>
      <c r="D35" s="14">
        <f t="shared" si="5"/>
        <v>2.4499049326313047</v>
      </c>
      <c r="E35" s="16">
        <v>56</v>
      </c>
      <c r="F35" s="12" t="str">
        <f t="shared" si="6"/>
        <v>00111000</v>
      </c>
      <c r="G35" s="17" t="str">
        <f>_xlfn.CONCAT(LEFT(F35,4),RIGHT(F34,4))</f>
        <v>00110001</v>
      </c>
      <c r="H35" s="14" t="str">
        <f t="shared" ref="H35:H42" si="9">REPLACE(G35,3,1,0)</f>
        <v>00010001</v>
      </c>
      <c r="I35" s="13">
        <f t="shared" si="8"/>
        <v>17</v>
      </c>
    </row>
    <row r="36" spans="1:9" s="14" customFormat="1" x14ac:dyDescent="0.25">
      <c r="A36" s="15" t="s">
        <v>13</v>
      </c>
      <c r="B36" s="14">
        <v>9</v>
      </c>
      <c r="C36" s="14">
        <v>22</v>
      </c>
      <c r="D36" s="14">
        <f t="shared" si="5"/>
        <v>2.8020986539858788</v>
      </c>
      <c r="E36" s="16">
        <v>55</v>
      </c>
      <c r="F36" s="2" t="str">
        <f t="shared" si="6"/>
        <v>00110111</v>
      </c>
      <c r="G36" s="17" t="str">
        <f>_xlfn.CONCAT(LEFT(F36,4),RIGHT(F37,4))</f>
        <v>00110110</v>
      </c>
      <c r="H36" s="14" t="str">
        <f t="shared" si="9"/>
        <v>00010110</v>
      </c>
      <c r="I36" s="13">
        <f t="shared" si="8"/>
        <v>22</v>
      </c>
    </row>
    <row r="37" spans="1:9" s="14" customFormat="1" x14ac:dyDescent="0.25">
      <c r="A37" s="15" t="s">
        <v>14</v>
      </c>
      <c r="B37" s="14">
        <v>10</v>
      </c>
      <c r="C37" s="14">
        <v>26</v>
      </c>
      <c r="D37" s="14">
        <f t="shared" si="5"/>
        <v>3.0021495754677456</v>
      </c>
      <c r="E37" s="16">
        <v>54</v>
      </c>
      <c r="F37" s="2" t="str">
        <f t="shared" si="6"/>
        <v>00110110</v>
      </c>
      <c r="G37" s="17" t="str">
        <f>_xlfn.CONCAT(LEFT(F37,4),RIGHT(F36,4))</f>
        <v>00110111</v>
      </c>
      <c r="H37" s="14" t="str">
        <f t="shared" si="9"/>
        <v>00010111</v>
      </c>
      <c r="I37" s="13">
        <f t="shared" si="8"/>
        <v>23</v>
      </c>
    </row>
    <row r="38" spans="1:9" s="14" customFormat="1" ht="16.5" x14ac:dyDescent="0.3">
      <c r="A38" s="15" t="s">
        <v>15</v>
      </c>
      <c r="B38" s="19">
        <v>11</v>
      </c>
      <c r="C38" s="14">
        <v>27</v>
      </c>
      <c r="D38" s="14">
        <f t="shared" si="5"/>
        <v>3.048802225347385</v>
      </c>
      <c r="E38" s="16">
        <v>53</v>
      </c>
      <c r="F38" s="12" t="str">
        <f t="shared" si="6"/>
        <v>00110101</v>
      </c>
      <c r="G38" s="17" t="str">
        <f>_xlfn.CONCAT(LEFT(F38,4),RIGHT(F39,4))</f>
        <v>00110001</v>
      </c>
      <c r="H38" s="14" t="str">
        <f t="shared" si="9"/>
        <v>00010001</v>
      </c>
      <c r="I38" s="13">
        <f t="shared" si="8"/>
        <v>17</v>
      </c>
    </row>
    <row r="39" spans="1:9" s="14" customFormat="1" x14ac:dyDescent="0.25">
      <c r="A39" s="15" t="s">
        <v>16</v>
      </c>
      <c r="B39" s="14">
        <v>12</v>
      </c>
      <c r="C39" s="14">
        <v>1</v>
      </c>
      <c r="D39" s="14">
        <f t="shared" si="5"/>
        <v>1</v>
      </c>
      <c r="E39" s="16">
        <v>49</v>
      </c>
      <c r="F39" s="12" t="str">
        <f t="shared" si="6"/>
        <v>00110001</v>
      </c>
      <c r="G39" s="17" t="str">
        <f>_xlfn.CONCAT(LEFT(F39,4),RIGHT(F38,4))</f>
        <v>00110101</v>
      </c>
      <c r="H39" s="14" t="str">
        <f t="shared" si="9"/>
        <v>00010101</v>
      </c>
      <c r="I39" s="13">
        <f t="shared" si="8"/>
        <v>21</v>
      </c>
    </row>
    <row r="40" spans="1:9" s="14" customFormat="1" x14ac:dyDescent="0.25">
      <c r="A40" s="15" t="s">
        <v>11</v>
      </c>
      <c r="B40" s="14">
        <v>13</v>
      </c>
      <c r="C40" s="14">
        <v>5</v>
      </c>
      <c r="D40" s="14">
        <f t="shared" si="5"/>
        <v>1.4885590669614941</v>
      </c>
      <c r="E40" s="16">
        <v>27</v>
      </c>
      <c r="F40" s="2" t="str">
        <f t="shared" si="6"/>
        <v>00011011</v>
      </c>
      <c r="G40" s="17" t="str">
        <f>_xlfn.CONCAT(LEFT(F40,4),RIGHT(F41,4))</f>
        <v>00011010</v>
      </c>
      <c r="H40" s="14" t="str">
        <f t="shared" si="9"/>
        <v>00011010</v>
      </c>
      <c r="I40" s="13">
        <f t="shared" si="8"/>
        <v>26</v>
      </c>
    </row>
    <row r="41" spans="1:9" s="14" customFormat="1" ht="16.5" x14ac:dyDescent="0.3">
      <c r="B41" s="19">
        <v>14</v>
      </c>
      <c r="C41" s="14">
        <v>10</v>
      </c>
      <c r="D41" s="14">
        <f t="shared" si="5"/>
        <v>2</v>
      </c>
      <c r="E41" s="16">
        <v>26</v>
      </c>
      <c r="F41" s="2" t="str">
        <f t="shared" si="6"/>
        <v>00011010</v>
      </c>
      <c r="G41" s="17" t="str">
        <f>_xlfn.CONCAT(LEFT(F41,4),RIGHT(F40,4))</f>
        <v>00011011</v>
      </c>
      <c r="H41" s="14" t="str">
        <f t="shared" si="9"/>
        <v>00011011</v>
      </c>
      <c r="I41" s="13">
        <f t="shared" si="8"/>
        <v>27</v>
      </c>
    </row>
    <row r="42" spans="1:9" s="14" customFormat="1" x14ac:dyDescent="0.25">
      <c r="B42" s="14">
        <v>15</v>
      </c>
      <c r="C42" s="14">
        <v>12</v>
      </c>
      <c r="D42" s="14">
        <f t="shared" si="5"/>
        <v>2.1646321618209043</v>
      </c>
      <c r="E42" s="16">
        <v>22</v>
      </c>
      <c r="F42" s="12" t="str">
        <f t="shared" si="6"/>
        <v>00010110</v>
      </c>
      <c r="G42" s="17" t="str">
        <f>_xlfn.CONCAT(LEFT(F42,4),RIGHT(F43,4))</f>
        <v>00010000</v>
      </c>
      <c r="H42" s="14" t="str">
        <f t="shared" si="9"/>
        <v>00010000</v>
      </c>
      <c r="I42" s="13">
        <f t="shared" si="8"/>
        <v>16</v>
      </c>
    </row>
    <row r="43" spans="1:9" s="14" customFormat="1" x14ac:dyDescent="0.25">
      <c r="B43" s="14">
        <v>16</v>
      </c>
      <c r="C43" s="14">
        <v>49</v>
      </c>
      <c r="D43" s="14">
        <f t="shared" si="5"/>
        <v>3.8567627889437537</v>
      </c>
      <c r="E43" s="16">
        <v>16</v>
      </c>
      <c r="F43" s="12" t="str">
        <f t="shared" si="6"/>
        <v>00010000</v>
      </c>
      <c r="G43" s="17" t="str">
        <f>_xlfn.CONCAT(LEFT(F43,4),RIGHT(F42,4))</f>
        <v>00010110</v>
      </c>
      <c r="H43" s="14" t="str">
        <f>REPLACE(G43,3,1,1)</f>
        <v>00110110</v>
      </c>
      <c r="I43" s="13">
        <f t="shared" si="8"/>
        <v>54</v>
      </c>
    </row>
    <row r="44" spans="1:9" s="14" customFormat="1" x14ac:dyDescent="0.25">
      <c r="B44" s="14">
        <v>17</v>
      </c>
      <c r="C44" s="14">
        <v>55</v>
      </c>
      <c r="D44" s="14">
        <f t="shared" si="5"/>
        <v>4.0288622909836374</v>
      </c>
      <c r="E44" s="16">
        <v>12</v>
      </c>
      <c r="F44" s="2" t="str">
        <f t="shared" si="6"/>
        <v>00001100</v>
      </c>
      <c r="G44" s="17" t="str">
        <f>_xlfn.CONCAT(LEFT(F44,4),RIGHT(F45,4))</f>
        <v>00001010</v>
      </c>
      <c r="H44" s="14" t="str">
        <f>REPLACE(G44,3,1,1)</f>
        <v>00101010</v>
      </c>
      <c r="I44" s="13">
        <f t="shared" si="8"/>
        <v>42</v>
      </c>
    </row>
    <row r="45" spans="1:9" s="14" customFormat="1" ht="16.5" x14ac:dyDescent="0.3">
      <c r="B45" s="19">
        <v>18</v>
      </c>
      <c r="C45" s="14">
        <v>56</v>
      </c>
      <c r="D45" s="14">
        <f t="shared" si="5"/>
        <v>4.0561613777678325</v>
      </c>
      <c r="E45" s="16">
        <v>10</v>
      </c>
      <c r="F45" s="2" t="str">
        <f t="shared" si="6"/>
        <v>00001010</v>
      </c>
      <c r="G45" s="17" t="str">
        <f>_xlfn.CONCAT(LEFT(F45,4),RIGHT(F44,4))</f>
        <v>00001100</v>
      </c>
      <c r="H45" s="14" t="str">
        <f>REPLACE(G45,3,1,1)</f>
        <v>00101100</v>
      </c>
      <c r="I45" s="13">
        <f t="shared" si="8"/>
        <v>44</v>
      </c>
    </row>
    <row r="46" spans="1:9" s="14" customFormat="1" x14ac:dyDescent="0.25">
      <c r="B46" s="14">
        <v>19</v>
      </c>
      <c r="C46" s="14">
        <v>53</v>
      </c>
      <c r="D46" s="14">
        <f t="shared" si="5"/>
        <v>3.973127274487557</v>
      </c>
      <c r="E46" s="16">
        <v>5</v>
      </c>
      <c r="F46" s="12" t="str">
        <f t="shared" si="6"/>
        <v>00000101</v>
      </c>
      <c r="G46" s="17" t="str">
        <f>_xlfn.CONCAT(LEFT(F46,4),RIGHT(F47,4))</f>
        <v>00000001</v>
      </c>
      <c r="H46" s="14" t="str">
        <f>REPLACE(G46,3,1,1)</f>
        <v>00100001</v>
      </c>
      <c r="I46" s="13">
        <f t="shared" si="8"/>
        <v>33</v>
      </c>
    </row>
    <row r="47" spans="1:9" s="14" customFormat="1" x14ac:dyDescent="0.25">
      <c r="B47" s="14">
        <v>20</v>
      </c>
      <c r="C47" s="14">
        <v>54</v>
      </c>
      <c r="D47" s="14">
        <f t="shared" si="5"/>
        <v>4.0011881390735615</v>
      </c>
      <c r="E47" s="16">
        <v>1</v>
      </c>
      <c r="F47" s="12" t="str">
        <f t="shared" si="6"/>
        <v>00000001</v>
      </c>
      <c r="G47" s="17" t="str">
        <f>_xlfn.CONCAT(LEFT(F47,4),RIGHT(F46,4))</f>
        <v>00000101</v>
      </c>
      <c r="H47" s="14" t="str">
        <f>REPLACE(G47,3,1,1)</f>
        <v>00100101</v>
      </c>
      <c r="I47" s="13">
        <f t="shared" si="8"/>
        <v>37</v>
      </c>
    </row>
    <row r="50" spans="1:9" s="10" customFormat="1" x14ac:dyDescent="0.25">
      <c r="B50" s="11" t="s">
        <v>3</v>
      </c>
      <c r="C50" s="11" t="s">
        <v>0</v>
      </c>
      <c r="D50" s="11" t="s">
        <v>1</v>
      </c>
      <c r="E50" s="11" t="s">
        <v>2</v>
      </c>
      <c r="F50" s="11" t="s">
        <v>4</v>
      </c>
      <c r="G50" s="11" t="s">
        <v>6</v>
      </c>
      <c r="H50" s="11" t="s">
        <v>5</v>
      </c>
      <c r="I50" s="11" t="s">
        <v>7</v>
      </c>
    </row>
    <row r="51" spans="1:9" s="5" customFormat="1" x14ac:dyDescent="0.25">
      <c r="B51" s="5">
        <v>1</v>
      </c>
      <c r="C51" s="5">
        <v>122</v>
      </c>
      <c r="D51" s="5">
        <f t="shared" ref="D51:D70" si="10">1+(LOG10(C51))^2</f>
        <v>5.352897343053165</v>
      </c>
      <c r="E51" s="5">
        <v>127</v>
      </c>
      <c r="F51" s="2" t="str">
        <f t="shared" ref="F51:F70" si="11">DEC2BIN(E51,8)</f>
        <v>01111111</v>
      </c>
      <c r="G51" s="7" t="str">
        <f>_xlfn.CONCAT(LEFT(F51,4),RIGHT(F52,4))</f>
        <v>01111101</v>
      </c>
      <c r="H51" s="5" t="str">
        <f>REPLACE(G51,3,1,1)</f>
        <v>01111101</v>
      </c>
      <c r="I51" s="13">
        <f>BIN2DEC(H51)</f>
        <v>125</v>
      </c>
    </row>
    <row r="52" spans="1:9" s="9" customFormat="1" ht="16.5" x14ac:dyDescent="0.3">
      <c r="A52" s="6" t="s">
        <v>17</v>
      </c>
      <c r="B52" s="8">
        <v>2</v>
      </c>
      <c r="C52" s="5">
        <v>125</v>
      </c>
      <c r="D52" s="5">
        <f t="shared" si="10"/>
        <v>5.3970316026534464</v>
      </c>
      <c r="E52" s="5">
        <v>125</v>
      </c>
      <c r="F52" s="2" t="str">
        <f t="shared" si="11"/>
        <v>01111101</v>
      </c>
      <c r="G52" s="7" t="str">
        <f>_xlfn.CONCAT(LEFT(F52,4),RIGHT(F51,4))</f>
        <v>01111111</v>
      </c>
      <c r="H52" s="5" t="str">
        <f t="shared" ref="H52:H57" si="12">REPLACE(G52,3,1,1)</f>
        <v>01111111</v>
      </c>
      <c r="I52" s="13">
        <f t="shared" ref="I52:I70" si="13">BIN2DEC(H52)</f>
        <v>127</v>
      </c>
    </row>
    <row r="53" spans="1:9" s="5" customFormat="1" x14ac:dyDescent="0.25">
      <c r="A53" s="6"/>
      <c r="B53" s="5">
        <v>3</v>
      </c>
      <c r="C53" s="5">
        <v>119</v>
      </c>
      <c r="D53" s="5">
        <f t="shared" si="10"/>
        <v>5.3078951889457668</v>
      </c>
      <c r="E53" s="5">
        <v>122</v>
      </c>
      <c r="F53" s="12" t="str">
        <f t="shared" si="11"/>
        <v>01111010</v>
      </c>
      <c r="G53" s="7" t="str">
        <f>_xlfn.CONCAT(LEFT(F53,4),RIGHT(F54,4))</f>
        <v>01111001</v>
      </c>
      <c r="H53" s="5" t="str">
        <f t="shared" si="12"/>
        <v>01111001</v>
      </c>
      <c r="I53" s="13">
        <f t="shared" si="13"/>
        <v>121</v>
      </c>
    </row>
    <row r="54" spans="1:9" s="5" customFormat="1" x14ac:dyDescent="0.25">
      <c r="A54" s="6" t="s">
        <v>9</v>
      </c>
      <c r="B54" s="5">
        <v>4</v>
      </c>
      <c r="C54" s="5">
        <v>121</v>
      </c>
      <c r="D54" s="5">
        <f t="shared" si="10"/>
        <v>5.3379948988042329</v>
      </c>
      <c r="E54" s="5">
        <v>121</v>
      </c>
      <c r="F54" s="12" t="str">
        <f t="shared" si="11"/>
        <v>01111001</v>
      </c>
      <c r="G54" s="7" t="str">
        <f>_xlfn.CONCAT(LEFT(F54,4),RIGHT(F53,4))</f>
        <v>01111010</v>
      </c>
      <c r="H54" s="5" t="str">
        <f t="shared" si="12"/>
        <v>01111010</v>
      </c>
      <c r="I54" s="13">
        <f t="shared" si="13"/>
        <v>122</v>
      </c>
    </row>
    <row r="55" spans="1:9" s="5" customFormat="1" ht="16.5" x14ac:dyDescent="0.3">
      <c r="A55" s="6" t="s">
        <v>10</v>
      </c>
      <c r="B55" s="8">
        <v>5</v>
      </c>
      <c r="C55" s="5">
        <v>127</v>
      </c>
      <c r="D55" s="5">
        <f t="shared" si="10"/>
        <v>5.4259900963081291</v>
      </c>
      <c r="E55" s="5">
        <v>119</v>
      </c>
      <c r="F55" s="2" t="str">
        <f t="shared" si="11"/>
        <v>01110111</v>
      </c>
      <c r="G55" s="7" t="str">
        <f>_xlfn.CONCAT(LEFT(F55,4),RIGHT(F56,4))</f>
        <v>01111000</v>
      </c>
      <c r="H55" s="5" t="str">
        <f t="shared" si="12"/>
        <v>01111000</v>
      </c>
      <c r="I55" s="13">
        <f t="shared" si="13"/>
        <v>120</v>
      </c>
    </row>
    <row r="56" spans="1:9" s="5" customFormat="1" x14ac:dyDescent="0.25">
      <c r="A56" s="6" t="s">
        <v>11</v>
      </c>
      <c r="B56" s="5">
        <v>6</v>
      </c>
      <c r="C56" s="5">
        <v>98</v>
      </c>
      <c r="D56" s="5">
        <f t="shared" si="10"/>
        <v>4.9649812845177337</v>
      </c>
      <c r="E56" s="5">
        <v>104</v>
      </c>
      <c r="F56" s="2" t="str">
        <f t="shared" si="11"/>
        <v>01101000</v>
      </c>
      <c r="G56" s="7" t="str">
        <f>_xlfn.CONCAT(LEFT(F56,4),RIGHT(F55,4))</f>
        <v>01100111</v>
      </c>
      <c r="H56" s="5" t="str">
        <f t="shared" si="12"/>
        <v>01100111</v>
      </c>
      <c r="I56" s="13">
        <f t="shared" si="13"/>
        <v>103</v>
      </c>
    </row>
    <row r="57" spans="1:9" s="5" customFormat="1" x14ac:dyDescent="0.25">
      <c r="A57" s="6" t="s">
        <v>10</v>
      </c>
      <c r="B57" s="5">
        <v>7</v>
      </c>
      <c r="C57" s="5">
        <v>104</v>
      </c>
      <c r="D57" s="5">
        <f t="shared" si="10"/>
        <v>5.0684234918427888</v>
      </c>
      <c r="E57" s="5">
        <v>98</v>
      </c>
      <c r="F57" s="12" t="str">
        <f t="shared" si="11"/>
        <v>01100010</v>
      </c>
      <c r="G57" s="7" t="str">
        <f>_xlfn.CONCAT(LEFT(F57,4),RIGHT(F58,4))</f>
        <v>01100110</v>
      </c>
      <c r="H57" s="5" t="str">
        <f t="shared" si="12"/>
        <v>01100110</v>
      </c>
      <c r="I57" s="13">
        <f t="shared" si="13"/>
        <v>102</v>
      </c>
    </row>
    <row r="58" spans="1:9" s="5" customFormat="1" ht="16.5" x14ac:dyDescent="0.3">
      <c r="A58" s="6" t="s">
        <v>12</v>
      </c>
      <c r="B58" s="8">
        <v>8</v>
      </c>
      <c r="C58" s="5">
        <v>17</v>
      </c>
      <c r="D58" s="5">
        <f t="shared" si="10"/>
        <v>2.5140045481209574</v>
      </c>
      <c r="E58" s="5">
        <v>54</v>
      </c>
      <c r="F58" s="12" t="str">
        <f t="shared" si="11"/>
        <v>00110110</v>
      </c>
      <c r="G58" s="7" t="str">
        <f>_xlfn.CONCAT(LEFT(F58,4),RIGHT(F57,4))</f>
        <v>00110010</v>
      </c>
      <c r="H58" s="5" t="str">
        <f>REPLACE(G58,3,1,0)</f>
        <v>00010010</v>
      </c>
      <c r="I58" s="13">
        <f t="shared" si="13"/>
        <v>18</v>
      </c>
    </row>
    <row r="59" spans="1:9" s="5" customFormat="1" x14ac:dyDescent="0.25">
      <c r="A59" s="6" t="s">
        <v>13</v>
      </c>
      <c r="B59" s="5">
        <v>9</v>
      </c>
      <c r="C59" s="5">
        <v>22</v>
      </c>
      <c r="D59" s="5">
        <f t="shared" si="10"/>
        <v>2.8020986539858788</v>
      </c>
      <c r="E59" s="5">
        <v>44</v>
      </c>
      <c r="F59" s="2" t="str">
        <f t="shared" si="11"/>
        <v>00101100</v>
      </c>
      <c r="G59" s="7" t="str">
        <f>_xlfn.CONCAT(LEFT(F59,4),RIGHT(F60,4))</f>
        <v>00101010</v>
      </c>
      <c r="H59" s="5" t="str">
        <f t="shared" ref="H59:H65" si="14">REPLACE(G59,3,1,0)</f>
        <v>00001010</v>
      </c>
      <c r="I59" s="13">
        <f t="shared" si="13"/>
        <v>10</v>
      </c>
    </row>
    <row r="60" spans="1:9" s="5" customFormat="1" x14ac:dyDescent="0.25">
      <c r="A60" s="6" t="s">
        <v>14</v>
      </c>
      <c r="B60" s="5">
        <v>10</v>
      </c>
      <c r="C60" s="5">
        <v>23</v>
      </c>
      <c r="D60" s="5">
        <f t="shared" si="10"/>
        <v>2.8543026993851561</v>
      </c>
      <c r="E60" s="5">
        <v>42</v>
      </c>
      <c r="F60" s="2" t="str">
        <f t="shared" si="11"/>
        <v>00101010</v>
      </c>
      <c r="G60" s="7" t="str">
        <f>_xlfn.CONCAT(LEFT(F60,4),RIGHT(F59,4))</f>
        <v>00101100</v>
      </c>
      <c r="H60" s="5" t="str">
        <f t="shared" si="14"/>
        <v>00001100</v>
      </c>
      <c r="I60" s="13">
        <f t="shared" si="13"/>
        <v>12</v>
      </c>
    </row>
    <row r="61" spans="1:9" s="5" customFormat="1" ht="16.5" x14ac:dyDescent="0.3">
      <c r="A61" s="6" t="s">
        <v>15</v>
      </c>
      <c r="B61" s="8">
        <v>11</v>
      </c>
      <c r="C61" s="5">
        <v>17</v>
      </c>
      <c r="D61" s="5">
        <f t="shared" si="10"/>
        <v>2.5140045481209574</v>
      </c>
      <c r="E61" s="5">
        <v>37</v>
      </c>
      <c r="F61" s="12" t="str">
        <f t="shared" si="11"/>
        <v>00100101</v>
      </c>
      <c r="G61" s="7" t="str">
        <f>_xlfn.CONCAT(LEFT(F61,4),RIGHT(F62,4))</f>
        <v>00100001</v>
      </c>
      <c r="H61" s="5" t="str">
        <f t="shared" si="14"/>
        <v>00000001</v>
      </c>
      <c r="I61" s="13">
        <f t="shared" si="13"/>
        <v>1</v>
      </c>
    </row>
    <row r="62" spans="1:9" s="5" customFormat="1" x14ac:dyDescent="0.25">
      <c r="A62" s="6" t="s">
        <v>16</v>
      </c>
      <c r="B62" s="5">
        <v>12</v>
      </c>
      <c r="C62" s="5">
        <v>21</v>
      </c>
      <c r="D62" s="5">
        <f t="shared" si="10"/>
        <v>2.7482638633666632</v>
      </c>
      <c r="E62" s="5">
        <v>33</v>
      </c>
      <c r="F62" s="12" t="str">
        <f t="shared" si="11"/>
        <v>00100001</v>
      </c>
      <c r="G62" s="7" t="str">
        <f>_xlfn.CONCAT(LEFT(F62,4),RIGHT(F61,4))</f>
        <v>00100101</v>
      </c>
      <c r="H62" s="5" t="str">
        <f t="shared" si="14"/>
        <v>00000101</v>
      </c>
      <c r="I62" s="13">
        <f t="shared" si="13"/>
        <v>5</v>
      </c>
    </row>
    <row r="63" spans="1:9" s="5" customFormat="1" x14ac:dyDescent="0.25">
      <c r="A63" s="6" t="s">
        <v>11</v>
      </c>
      <c r="B63" s="5">
        <v>13</v>
      </c>
      <c r="C63" s="5">
        <v>26</v>
      </c>
      <c r="D63" s="5">
        <f t="shared" si="10"/>
        <v>3.0021495754677456</v>
      </c>
      <c r="E63" s="5">
        <v>27</v>
      </c>
      <c r="F63" s="2" t="str">
        <f t="shared" si="11"/>
        <v>00011011</v>
      </c>
      <c r="G63" s="7" t="str">
        <f>_xlfn.CONCAT(LEFT(F63,4),RIGHT(F64,4))</f>
        <v>00011010</v>
      </c>
      <c r="H63" s="5" t="str">
        <f t="shared" si="14"/>
        <v>00011010</v>
      </c>
      <c r="I63" s="13">
        <f t="shared" si="13"/>
        <v>26</v>
      </c>
    </row>
    <row r="64" spans="1:9" s="5" customFormat="1" ht="16.5" x14ac:dyDescent="0.3">
      <c r="B64" s="8">
        <v>14</v>
      </c>
      <c r="C64" s="5">
        <v>27</v>
      </c>
      <c r="D64" s="5">
        <f t="shared" si="10"/>
        <v>3.048802225347385</v>
      </c>
      <c r="E64" s="5">
        <v>26</v>
      </c>
      <c r="F64" s="2" t="str">
        <f t="shared" si="11"/>
        <v>00011010</v>
      </c>
      <c r="G64" s="7" t="str">
        <f>_xlfn.CONCAT(LEFT(F64,4),RIGHT(F63,4))</f>
        <v>00011011</v>
      </c>
      <c r="H64" s="5" t="str">
        <f t="shared" si="14"/>
        <v>00011011</v>
      </c>
      <c r="I64" s="13">
        <f t="shared" si="13"/>
        <v>27</v>
      </c>
    </row>
    <row r="65" spans="2:9" s="5" customFormat="1" x14ac:dyDescent="0.25">
      <c r="B65" s="5">
        <v>15</v>
      </c>
      <c r="C65" s="5">
        <v>16</v>
      </c>
      <c r="D65" s="5">
        <f t="shared" si="10"/>
        <v>2.4499049326313047</v>
      </c>
      <c r="E65" s="5">
        <v>23</v>
      </c>
      <c r="F65" s="12" t="str">
        <f t="shared" si="11"/>
        <v>00010111</v>
      </c>
      <c r="G65" s="7" t="str">
        <f>_xlfn.CONCAT(LEFT(F65,4),RIGHT(F66,4))</f>
        <v>00010110</v>
      </c>
      <c r="H65" s="5" t="str">
        <f t="shared" si="14"/>
        <v>00010110</v>
      </c>
      <c r="I65" s="13">
        <f t="shared" si="13"/>
        <v>22</v>
      </c>
    </row>
    <row r="66" spans="2:9" s="5" customFormat="1" x14ac:dyDescent="0.25">
      <c r="B66" s="5">
        <v>16</v>
      </c>
      <c r="C66" s="5">
        <v>54</v>
      </c>
      <c r="D66" s="5">
        <f t="shared" si="10"/>
        <v>4.0011881390735615</v>
      </c>
      <c r="E66" s="5">
        <v>22</v>
      </c>
      <c r="F66" s="12" t="str">
        <f t="shared" si="11"/>
        <v>00010110</v>
      </c>
      <c r="G66" s="7" t="str">
        <f>_xlfn.CONCAT(LEFT(F66,4),RIGHT(F65,4))</f>
        <v>00010111</v>
      </c>
      <c r="H66" s="5" t="str">
        <f>REPLACE(G66,3,1,1)</f>
        <v>00110111</v>
      </c>
      <c r="I66" s="13">
        <f t="shared" si="13"/>
        <v>55</v>
      </c>
    </row>
    <row r="67" spans="2:9" s="5" customFormat="1" x14ac:dyDescent="0.25">
      <c r="B67" s="5">
        <v>17</v>
      </c>
      <c r="C67" s="5">
        <v>42</v>
      </c>
      <c r="D67" s="5">
        <f t="shared" si="10"/>
        <v>3.6349382587772876</v>
      </c>
      <c r="E67" s="5">
        <v>21</v>
      </c>
      <c r="F67" s="2" t="str">
        <f t="shared" si="11"/>
        <v>00010101</v>
      </c>
      <c r="G67" s="7" t="str">
        <f>_xlfn.CONCAT(LEFT(F67,4),RIGHT(F68,4))</f>
        <v>00010001</v>
      </c>
      <c r="H67" s="5" t="str">
        <f>REPLACE(G67,3,1,1)</f>
        <v>00110001</v>
      </c>
      <c r="I67" s="13">
        <f t="shared" si="13"/>
        <v>49</v>
      </c>
    </row>
    <row r="68" spans="2:9" s="5" customFormat="1" ht="16.5" x14ac:dyDescent="0.3">
      <c r="B68" s="8">
        <v>18</v>
      </c>
      <c r="C68" s="5">
        <v>44</v>
      </c>
      <c r="D68" s="5">
        <f t="shared" si="10"/>
        <v>3.7009366998496129</v>
      </c>
      <c r="E68" s="5">
        <v>17</v>
      </c>
      <c r="F68" s="2" t="str">
        <f t="shared" si="11"/>
        <v>00010001</v>
      </c>
      <c r="G68" s="7" t="str">
        <f>_xlfn.CONCAT(LEFT(F68,4),RIGHT(F67,4))</f>
        <v>00010101</v>
      </c>
      <c r="H68" s="5" t="str">
        <f>REPLACE(G68,3,1,1)</f>
        <v>00110101</v>
      </c>
      <c r="I68" s="13">
        <f t="shared" si="13"/>
        <v>53</v>
      </c>
    </row>
    <row r="69" spans="2:9" s="5" customFormat="1" x14ac:dyDescent="0.25">
      <c r="B69" s="5">
        <v>19</v>
      </c>
      <c r="C69" s="5">
        <v>33</v>
      </c>
      <c r="D69" s="5">
        <f t="shared" si="10"/>
        <v>3.3058845856034647</v>
      </c>
      <c r="E69" s="5">
        <v>17</v>
      </c>
      <c r="F69" s="12" t="str">
        <f t="shared" si="11"/>
        <v>00010001</v>
      </c>
      <c r="G69" s="7" t="str">
        <f>_xlfn.CONCAT(LEFT(F69,4),RIGHT(F70,4))</f>
        <v>00010000</v>
      </c>
      <c r="H69" s="5" t="str">
        <f>REPLACE(G69,3,1,1)</f>
        <v>00110000</v>
      </c>
      <c r="I69" s="13">
        <f t="shared" si="13"/>
        <v>48</v>
      </c>
    </row>
    <row r="70" spans="2:9" s="5" customFormat="1" x14ac:dyDescent="0.25">
      <c r="B70" s="5">
        <v>20</v>
      </c>
      <c r="C70" s="5">
        <v>37</v>
      </c>
      <c r="D70" s="5">
        <f t="shared" si="10"/>
        <v>3.4592566473666957</v>
      </c>
      <c r="E70" s="5">
        <v>16</v>
      </c>
      <c r="F70" s="12" t="str">
        <f t="shared" si="11"/>
        <v>00010000</v>
      </c>
      <c r="G70" s="7" t="str">
        <f>_xlfn.CONCAT(LEFT(F70,4),RIGHT(F69,4))</f>
        <v>00010001</v>
      </c>
      <c r="H70" s="5" t="str">
        <f>REPLACE(G70,3,1,1)</f>
        <v>00110001</v>
      </c>
      <c r="I70" s="13">
        <f t="shared" si="13"/>
        <v>49</v>
      </c>
    </row>
  </sheetData>
  <sortState xmlns:xlrd2="http://schemas.microsoft.com/office/spreadsheetml/2017/richdata2" ref="N28:N47">
    <sortCondition descending="1" ref="N28:N47"/>
  </sortState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75252-6D9C-4D30-8FEE-922BE771464D}">
  <sheetPr codeName="Hoja3"/>
  <dimension ref="A1:T32"/>
  <sheetViews>
    <sheetView tabSelected="1" zoomScale="80" zoomScaleNormal="80" workbookViewId="0">
      <selection activeCell="J12" sqref="J12"/>
    </sheetView>
  </sheetViews>
  <sheetFormatPr baseColWidth="10" defaultRowHeight="15" x14ac:dyDescent="0.25"/>
  <cols>
    <col min="2" max="2" width="15.5703125" customWidth="1"/>
    <col min="3" max="3" width="8.85546875" customWidth="1"/>
    <col min="6" max="6" width="15.140625" style="29" customWidth="1"/>
    <col min="7" max="7" width="12.85546875" style="27" customWidth="1"/>
    <col min="8" max="8" width="19.7109375" customWidth="1"/>
    <col min="10" max="10" width="15.28515625" customWidth="1"/>
  </cols>
  <sheetData>
    <row r="1" spans="1:20" s="32" customFormat="1" ht="33" customHeight="1" x14ac:dyDescent="0.25">
      <c r="A1" s="31"/>
      <c r="C1" s="30" t="s">
        <v>21</v>
      </c>
      <c r="D1" s="33">
        <v>30</v>
      </c>
      <c r="F1" s="34" t="s">
        <v>23</v>
      </c>
      <c r="G1" s="35">
        <v>5</v>
      </c>
      <c r="H1" s="30" t="s">
        <v>22</v>
      </c>
      <c r="I1" s="33">
        <v>3</v>
      </c>
      <c r="J1" s="30" t="s">
        <v>25</v>
      </c>
      <c r="K1" s="33">
        <v>100</v>
      </c>
      <c r="T1" s="30"/>
    </row>
    <row r="2" spans="1:20" s="10" customFormat="1" x14ac:dyDescent="0.25">
      <c r="B2" s="11" t="s">
        <v>24</v>
      </c>
      <c r="C2" s="11" t="s">
        <v>0</v>
      </c>
      <c r="D2" s="11" t="s">
        <v>1</v>
      </c>
      <c r="E2" s="11" t="s">
        <v>2</v>
      </c>
      <c r="F2" s="28" t="s">
        <v>4</v>
      </c>
      <c r="G2" s="28" t="s">
        <v>6</v>
      </c>
      <c r="H2" s="11" t="s">
        <v>5</v>
      </c>
      <c r="I2" s="11" t="s">
        <v>7</v>
      </c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20" x14ac:dyDescent="0.25">
      <c r="H3" s="27"/>
    </row>
    <row r="4" spans="1:20" x14ac:dyDescent="0.25">
      <c r="H4" s="27"/>
    </row>
    <row r="5" spans="1:20" x14ac:dyDescent="0.25">
      <c r="H5" s="27"/>
    </row>
    <row r="6" spans="1:20" x14ac:dyDescent="0.25">
      <c r="H6" s="27"/>
    </row>
    <row r="7" spans="1:20" x14ac:dyDescent="0.25">
      <c r="H7" s="27"/>
    </row>
    <row r="8" spans="1:20" x14ac:dyDescent="0.25">
      <c r="H8" s="27"/>
    </row>
    <row r="9" spans="1:20" x14ac:dyDescent="0.25">
      <c r="H9" s="27"/>
    </row>
    <row r="10" spans="1:20" x14ac:dyDescent="0.25">
      <c r="H10" s="27"/>
    </row>
    <row r="11" spans="1:20" x14ac:dyDescent="0.25">
      <c r="H11" s="27"/>
    </row>
    <row r="12" spans="1:20" x14ac:dyDescent="0.25">
      <c r="H12" s="27"/>
    </row>
    <row r="13" spans="1:20" x14ac:dyDescent="0.25">
      <c r="H13" s="27"/>
    </row>
    <row r="14" spans="1:20" x14ac:dyDescent="0.25">
      <c r="H14" s="27"/>
    </row>
    <row r="15" spans="1:20" x14ac:dyDescent="0.25">
      <c r="H15" s="27"/>
    </row>
    <row r="16" spans="1:20" x14ac:dyDescent="0.25">
      <c r="H16" s="27"/>
    </row>
    <row r="17" spans="8:8" x14ac:dyDescent="0.25">
      <c r="H17" s="27"/>
    </row>
    <row r="18" spans="8:8" x14ac:dyDescent="0.25">
      <c r="H18" s="27"/>
    </row>
    <row r="19" spans="8:8" x14ac:dyDescent="0.25">
      <c r="H19" s="27"/>
    </row>
    <row r="20" spans="8:8" x14ac:dyDescent="0.25">
      <c r="H20" s="27"/>
    </row>
    <row r="21" spans="8:8" x14ac:dyDescent="0.25">
      <c r="H21" s="27"/>
    </row>
    <row r="22" spans="8:8" x14ac:dyDescent="0.25">
      <c r="H22" s="27"/>
    </row>
    <row r="23" spans="8:8" x14ac:dyDescent="0.25">
      <c r="H23" s="27"/>
    </row>
    <row r="24" spans="8:8" x14ac:dyDescent="0.25">
      <c r="H24" s="27"/>
    </row>
    <row r="25" spans="8:8" x14ac:dyDescent="0.25">
      <c r="H25" s="27"/>
    </row>
    <row r="26" spans="8:8" x14ac:dyDescent="0.25">
      <c r="H26" s="27"/>
    </row>
    <row r="27" spans="8:8" x14ac:dyDescent="0.25">
      <c r="H27" s="27"/>
    </row>
    <row r="28" spans="8:8" x14ac:dyDescent="0.25">
      <c r="H28" s="27"/>
    </row>
    <row r="29" spans="8:8" x14ac:dyDescent="0.25">
      <c r="H29" s="27"/>
    </row>
    <row r="30" spans="8:8" x14ac:dyDescent="0.25">
      <c r="H30" s="27"/>
    </row>
    <row r="31" spans="8:8" x14ac:dyDescent="0.25">
      <c r="H31" s="27"/>
    </row>
    <row r="32" spans="8:8" x14ac:dyDescent="0.25">
      <c r="H32" s="27"/>
    </row>
  </sheetData>
  <sortState xmlns:xlrd2="http://schemas.microsoft.com/office/spreadsheetml/2017/richdata2" caseSensitive="1" ref="E3:E5000">
    <sortCondition descending="1" ref="E2:E2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 JHONNY</dc:creator>
  <cp:lastModifiedBy>EVER JHONNY</cp:lastModifiedBy>
  <dcterms:created xsi:type="dcterms:W3CDTF">2021-12-04T05:24:36Z</dcterms:created>
  <dcterms:modified xsi:type="dcterms:W3CDTF">2021-12-09T11:00:02Z</dcterms:modified>
</cp:coreProperties>
</file>